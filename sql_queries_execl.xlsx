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drive.merck.com/personal/hulmani_merck_com/Documents/"/>
    </mc:Choice>
  </mc:AlternateContent>
  <xr:revisionPtr revIDLastSave="5" documentId="8_{F99AA394-BC9F-4A71-9395-BB61843CDB8F}" xr6:coauthVersionLast="47" xr6:coauthVersionMax="47" xr10:uidLastSave="{5DD3C991-251F-47C1-8360-459046D9C0AC}"/>
  <bookViews>
    <workbookView xWindow="-108" yWindow="-108" windowWidth="23256" windowHeight="12456" activeTab="3" xr2:uid="{BA0C7AA9-026C-4974-9070-E14A7DCF488E}"/>
  </bookViews>
  <sheets>
    <sheet name="src_dtl" sheetId="1" r:id="rId1"/>
    <sheet name="src_map_dtl" sheetId="2" r:id="rId2"/>
    <sheet name="trgt_map_dtl" sheetId="3" r:id="rId3"/>
    <sheet name="stage_pub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4" l="1"/>
  <c r="J2" i="3"/>
  <c r="K2" i="2"/>
  <c r="L2" i="2" s="1"/>
  <c r="J2" i="1"/>
  <c r="K2" i="1" s="1"/>
</calcChain>
</file>

<file path=xl/sharedStrings.xml><?xml version="1.0" encoding="utf-8"?>
<sst xmlns="http://schemas.openxmlformats.org/spreadsheetml/2006/main" count="71" uniqueCount="56">
  <si>
    <t>src_id</t>
  </si>
  <si>
    <t>objct_id</t>
  </si>
  <si>
    <t>objct_nm</t>
  </si>
  <si>
    <t>src_nm</t>
  </si>
  <si>
    <t>schema_nm</t>
  </si>
  <si>
    <t>run_flag</t>
  </si>
  <si>
    <t>crtn_dt_tm</t>
  </si>
  <si>
    <t>last_updt_dt_tm</t>
  </si>
  <si>
    <t>column query insert</t>
  </si>
  <si>
    <t>Final draft sql queries</t>
  </si>
  <si>
    <t>Final sql queries</t>
  </si>
  <si>
    <t>drc_review</t>
  </si>
  <si>
    <t>DRC</t>
  </si>
  <si>
    <t>dbo</t>
  </si>
  <si>
    <t>Y</t>
  </si>
  <si>
    <t>current_timestamp()</t>
  </si>
  <si>
    <t>INSERT INTO gmadw_integration_schema.src_dtl (src_id, objct_id, objct_nm, src_nm, schema_nm, run_flag, crtn_dt_tm, last_updt_dt_tm) VALUES (</t>
  </si>
  <si>
    <t xml:space="preserve"> objct_id</t>
  </si>
  <si>
    <t xml:space="preserve"> src_view_nm</t>
  </si>
  <si>
    <t xml:space="preserve"> trgt_objct_nm</t>
  </si>
  <si>
    <t xml:space="preserve"> from_clause</t>
  </si>
  <si>
    <t xml:space="preserve"> where_clause</t>
  </si>
  <si>
    <t xml:space="preserve"> last_run_status</t>
  </si>
  <si>
    <t xml:space="preserve"> last_run_date</t>
  </si>
  <si>
    <t xml:space="preserve"> crtn_dt_tm</t>
  </si>
  <si>
    <t>final draft sql query</t>
  </si>
  <si>
    <t>Final sql query</t>
  </si>
  <si>
    <t>FROM org43460e0c.dbo.drc_signup x
LEFT JOIN org43460e0c.dbo.drc_intakeform y ON x.drc_signupid = y.drc_signup
LEFT JOIN org43460e0c.dbo.systemuser z on x.ownerid = z.systemuserid
LEFT JOIN org43460e0c.dbo.propel_esa_merck_person pemp on z.internalemailaddress = pemp.propel_extrnl_email_nm</t>
  </si>
  <si>
    <t>where LEN(x.drc_revopsactivityid) &gt; 0</t>
  </si>
  <si>
    <t>SUCCESS</t>
  </si>
  <si>
    <t>date_format('2010-11-28', 'yyyy-MM-dd')</t>
  </si>
  <si>
    <t>INSERT INTO gmadw_integration_schema.src_map_dtl (src_id, objct_id, src_view_nm, trgt_objct_nm, from_clause, where_clause, last_run_status, last_run_date, crtn_dt_tm) VALUES (</t>
  </si>
  <si>
    <t xml:space="preserve"> col_seq</t>
  </si>
  <si>
    <t xml:space="preserve"> src_col_nm</t>
  </si>
  <si>
    <t xml:space="preserve"> trgt_col_nm</t>
  </si>
  <si>
    <t>col_flag</t>
  </si>
  <si>
    <t>final query draft</t>
  </si>
  <si>
    <t>cree4_funding_request_intakeid</t>
  </si>
  <si>
    <t>INSERT INTO gmadw_integration_schema.trgt_map_dtl (src_id, objct_id, col_seq, src_col_nm, trgt_col_nm, col_flag, crtn_dt_tm) VALUES (</t>
  </si>
  <si>
    <t>stage_schema_name</t>
  </si>
  <si>
    <t>stage_table_name</t>
  </si>
  <si>
    <t>stage_column_name</t>
  </si>
  <si>
    <t>pub_schema_name</t>
  </si>
  <si>
    <t>pub_table_name</t>
  </si>
  <si>
    <t>pub_column_name</t>
  </si>
  <si>
    <t>unique_key</t>
  </si>
  <si>
    <t>col_seq</t>
  </si>
  <si>
    <t>Insert</t>
  </si>
  <si>
    <t>Final</t>
  </si>
  <si>
    <t>/Volumes/mrl_gmabi_prd/gmadw_ienvision_stage/dv_stage_volume/pubs_dvdocument</t>
  </si>
  <si>
    <t>pubs_dvdocument_*</t>
  </si>
  <si>
    <t>id</t>
  </si>
  <si>
    <t>gmadw_ienvision_pub</t>
  </si>
  <si>
    <t>ienvision_dvdocument_publication</t>
  </si>
  <si>
    <t>dv_id</t>
  </si>
  <si>
    <t>Insert into gmadw_integration_schema.stage_to_publish_mapping (src_id,objct_id,stage_schema_name,stage_table_name,stage_column_name,pub_schema_name,pub_table_name,pub_column_name,unique_key,col_seq) VALUES 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</si>
</sst>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2"/>
      <color rgb="FF000000"/>
      <name val="Calibri Light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0" fillId="2" borderId="1" xfId="0" applyFill="1" applyBorder="1" applyAlignment="1">
      <alignment horizontal="right" vertical="center" wrapText="1"/>
    </xf>
    <xf numFmtId="0" fontId="0" fillId="0" borderId="0" xfId="0" applyAlignment="1">
      <alignment wrapText="1"/>
    </xf>
    <xf numFmtId="0" fontId="0" fillId="2" borderId="2" xfId="0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A9D4-371C-4ABA-BD12-7E98ED584909}">
  <dimension ref="A1:K3"/>
  <sheetViews>
    <sheetView workbookViewId="0">
      <selection sqref="A1:K3"/>
    </sheetView>
  </sheetViews>
  <sheetFormatPr defaultRowHeight="14.4" x14ac:dyDescent="0.3"/>
  <sheetData>
    <row r="1" spans="1:1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88.8" x14ac:dyDescent="0.3">
      <c r="A2" s="2">
        <v>43</v>
      </c>
      <c r="B2" s="2">
        <v>1</v>
      </c>
      <c r="C2" s="3" t="s">
        <v>11</v>
      </c>
      <c r="D2" s="4" t="s">
        <v>12</v>
      </c>
      <c r="E2" s="2" t="s">
        <v>13</v>
      </c>
      <c r="F2" s="5" t="s">
        <v>14</v>
      </c>
      <c r="G2" s="6" t="s">
        <v>15</v>
      </c>
      <c r="H2" s="6" t="s">
        <v>15</v>
      </c>
      <c r="I2" s="6" t="s">
        <v>16</v>
      </c>
      <c r="J2" s="6" t="str">
        <f>CONCATENATE(I2, "'",A2,"'",",","'",B2,"'",",","'",C2,"'",",","'",D2,"'",",","'",E2,"'",",","'",F2,"'",",","",G2,"",",","",H2,"",")")</f>
        <v>INSERT INTO gmadw_integration_schema.src_dtl (src_id, objct_id, objct_nm, src_nm, schema_nm, run_flag, crtn_dt_tm, last_updt_dt_tm) VALUES ('43','1','drc_review','DRC','dbo','Y',current_timestamp(),current_timestamp())</v>
      </c>
      <c r="K2" s="6" t="str">
        <f>CONCATENATE(J2,";")</f>
        <v>INSERT INTO gmadw_integration_schema.src_dtl (src_id, objct_id, objct_nm, src_nm, schema_nm, run_flag, crtn_dt_tm, last_updt_dt_tm) VALUES ('43','1','drc_review','DRC','dbo','Y',current_timestamp(),current_timestamp());</v>
      </c>
    </row>
    <row r="3" spans="1:11" x14ac:dyDescent="0.3">
      <c r="A3" s="7"/>
      <c r="B3" s="7"/>
      <c r="D3" s="4"/>
      <c r="E3" s="2"/>
      <c r="F3" s="5"/>
      <c r="G3" s="6"/>
      <c r="H3" s="6"/>
      <c r="I3" s="6"/>
      <c r="J3" s="6"/>
      <c r="K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F96BA-C62B-4815-AA6E-B1CC747E7742}">
  <dimension ref="A1:L2"/>
  <sheetViews>
    <sheetView workbookViewId="0">
      <selection sqref="A1:L2"/>
    </sheetView>
  </sheetViews>
  <sheetFormatPr defaultRowHeight="14.4" x14ac:dyDescent="0.3"/>
  <sheetData>
    <row r="1" spans="1:12" ht="43.2" x14ac:dyDescent="0.3">
      <c r="A1" s="8" t="s">
        <v>0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  <c r="G1" s="8" t="s">
        <v>22</v>
      </c>
      <c r="H1" s="8" t="s">
        <v>23</v>
      </c>
      <c r="I1" s="8" t="s">
        <v>24</v>
      </c>
      <c r="J1" s="8" t="s">
        <v>8</v>
      </c>
      <c r="K1" s="8" t="s">
        <v>25</v>
      </c>
      <c r="L1" s="8" t="s">
        <v>26</v>
      </c>
    </row>
    <row r="2" spans="1:12" ht="409.6" x14ac:dyDescent="0.3">
      <c r="A2" s="2">
        <v>43</v>
      </c>
      <c r="B2" s="2">
        <v>1</v>
      </c>
      <c r="C2" s="3" t="s">
        <v>11</v>
      </c>
      <c r="D2" s="3" t="s">
        <v>11</v>
      </c>
      <c r="E2" s="9" t="s">
        <v>27</v>
      </c>
      <c r="F2" s="9" t="s">
        <v>28</v>
      </c>
      <c r="G2" s="10" t="s">
        <v>29</v>
      </c>
      <c r="H2" s="10" t="s">
        <v>30</v>
      </c>
      <c r="I2" s="10" t="s">
        <v>15</v>
      </c>
      <c r="J2" s="6" t="s">
        <v>31</v>
      </c>
      <c r="K2" s="6" t="str">
        <f t="shared" ref="K2" si="0">CONCATENATE(J2,"'",A2,"'",",","'",B2,"'",",","'",C2,"'",",","'",D2,"'",",","'",E2,"'",",","'",F2,"'",",","'",G2,"'",",","",H2,"",",","",I2,"",")")</f>
        <v>INSERT INTO gmadw_integration_schema.src_map_dtl (src_id, objct_id, src_view_nm, trgt_objct_nm, from_clause, where_clause, last_run_status, last_run_date, crtn_dt_tm) VALUES ('43','1','drc_review','drc_review','FROM org43460e0c.dbo.drc_signup x
LEFT JOIN org43460e0c.dbo.drc_intakeform y ON x.drc_signupid = y.drc_signup
LEFT JOIN org43460e0c.dbo.systemuser z on x.ownerid = z.systemuserid
LEFT JOIN org43460e0c.dbo.propel_esa_merck_person pemp on z.internalemailaddress = pemp.propel_extrnl_email_nm','where LEN(x.drc_revopsactivityid) &gt; 0','SUCCESS',date_format('2010-11-28', 'yyyy-MM-dd'),current_timestamp())</v>
      </c>
      <c r="L2" s="6" t="str">
        <f>CONCATENATE(K2,";")</f>
        <v>INSERT INTO gmadw_integration_schema.src_map_dtl (src_id, objct_id, src_view_nm, trgt_objct_nm, from_clause, where_clause, last_run_status, last_run_date, crtn_dt_tm) VALUES ('43','1','drc_review','drc_review','FROM org43460e0c.dbo.drc_signup x
LEFT JOIN org43460e0c.dbo.drc_intakeform y ON x.drc_signupid = y.drc_signup
LEFT JOIN org43460e0c.dbo.systemuser z on x.ownerid = z.systemuserid
LEFT JOIN org43460e0c.dbo.propel_esa_merck_person pemp on z.internalemailaddress = pemp.propel_extrnl_email_nm','where LEN(x.drc_revopsactivityid) &gt; 0','SUCCESS',date_format('2010-11-28', 'yyyy-MM-dd'),current_timestamp());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8FD6B-6168-4468-B8C3-83558626BD1D}">
  <dimension ref="A1:J2"/>
  <sheetViews>
    <sheetView workbookViewId="0">
      <selection activeCell="N2" sqref="N2"/>
    </sheetView>
  </sheetViews>
  <sheetFormatPr defaultRowHeight="14.4" x14ac:dyDescent="0.3"/>
  <sheetData>
    <row r="1" spans="1:10" ht="43.2" x14ac:dyDescent="0.3">
      <c r="A1" s="11" t="s">
        <v>0</v>
      </c>
      <c r="B1" s="8" t="s">
        <v>17</v>
      </c>
      <c r="C1" s="1" t="s">
        <v>32</v>
      </c>
      <c r="D1" s="8" t="s">
        <v>33</v>
      </c>
      <c r="E1" s="8" t="s">
        <v>34</v>
      </c>
      <c r="F1" s="8" t="s">
        <v>35</v>
      </c>
      <c r="G1" s="8" t="s">
        <v>24</v>
      </c>
      <c r="H1" s="12"/>
      <c r="I1" s="13" t="s">
        <v>8</v>
      </c>
      <c r="J1" s="13" t="s">
        <v>36</v>
      </c>
    </row>
    <row r="2" spans="1:10" ht="409.6" x14ac:dyDescent="0.3">
      <c r="A2" s="2">
        <v>52</v>
      </c>
      <c r="B2" s="2">
        <v>1</v>
      </c>
      <c r="C2" s="2">
        <v>1</v>
      </c>
      <c r="D2" s="14" t="s">
        <v>37</v>
      </c>
      <c r="E2" s="14" t="s">
        <v>37</v>
      </c>
      <c r="F2" s="2" t="s">
        <v>14</v>
      </c>
      <c r="G2" s="6" t="s">
        <v>15</v>
      </c>
      <c r="H2" s="12"/>
      <c r="I2" s="12" t="s">
        <v>38</v>
      </c>
      <c r="J2" s="12" t="str">
        <f>CONCATENATE(I2,"'",A2,"'",",","'",B2,"'",",","'",C2,"'",",","'",D2,"'",",","'",E2,"'",",","'",F2,"'",",",G2,");")</f>
        <v>INSERT INTO gmadw_integration_schema.trgt_map_dtl (src_id, objct_id, col_seq, src_col_nm, trgt_col_nm, col_flag, crtn_dt_tm) VALUES ('52','1','1','cree4_funding_request_intakeid','cree4_funding_request_intakeid','Y',current_timestamp());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4E368-27D2-4261-9565-0AA33CCFF972}">
  <dimension ref="A1:L2"/>
  <sheetViews>
    <sheetView tabSelected="1" workbookViewId="0">
      <selection sqref="A1:L2"/>
    </sheetView>
  </sheetViews>
  <sheetFormatPr defaultRowHeight="14.4" x14ac:dyDescent="0.3"/>
  <sheetData>
    <row r="1" spans="1:12" ht="41.4" x14ac:dyDescent="0.3">
      <c r="A1" s="15" t="s">
        <v>0</v>
      </c>
      <c r="B1" s="15" t="s">
        <v>1</v>
      </c>
      <c r="C1" s="15" t="s">
        <v>39</v>
      </c>
      <c r="D1" s="15" t="s">
        <v>40</v>
      </c>
      <c r="E1" s="15" t="s">
        <v>41</v>
      </c>
      <c r="F1" s="15" t="s">
        <v>42</v>
      </c>
      <c r="G1" s="15" t="s">
        <v>43</v>
      </c>
      <c r="H1" s="15" t="s">
        <v>44</v>
      </c>
      <c r="I1" s="15" t="s">
        <v>45</v>
      </c>
      <c r="J1" s="15" t="s">
        <v>46</v>
      </c>
      <c r="K1" s="15" t="s">
        <v>47</v>
      </c>
      <c r="L1" s="15" t="s">
        <v>48</v>
      </c>
    </row>
    <row r="2" spans="1:12" ht="409.6" x14ac:dyDescent="0.3">
      <c r="A2" s="16">
        <v>12</v>
      </c>
      <c r="B2" s="16">
        <v>2</v>
      </c>
      <c r="C2" s="16" t="s">
        <v>49</v>
      </c>
      <c r="D2" s="17" t="s">
        <v>50</v>
      </c>
      <c r="E2" s="14" t="s">
        <v>51</v>
      </c>
      <c r="F2" s="16" t="s">
        <v>52</v>
      </c>
      <c r="G2" s="17" t="s">
        <v>53</v>
      </c>
      <c r="H2" t="s">
        <v>54</v>
      </c>
      <c r="I2" s="16"/>
      <c r="J2" s="16">
        <v>1</v>
      </c>
      <c r="K2" s="18" t="s">
        <v>55</v>
      </c>
      <c r="L2" s="17" t="str">
        <f>CONCATENATE(K2,"'",A2,"'",",","'",B2,"'",",","'",C2,"'",",","'",D2,"'",",","'",E2,"'",",","'",F2,"'",",","'",G2,"'",",","'",H2,"'",",","'",I2,"'",",","'",J2,"'",");")</f>
        <v>Insert into gmadw_integration_schema.stage_to_publish_mapping (src_id,objct_id,stage_schema_name,stage_table_name,stage_column_name,pub_schema_name,pub_table_name,pub_column_name,unique_key,col_seq) VALUES ('12','2','/Volumes/mrl_gmabi_prd/gmadw_ienvision_stage/dv_stage_volume/pubs_dvdocument','pubs_dvdocument_*','id','gmadw_ienvision_pub','ienvision_dvdocument_publication','dv_id','','1');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src_dtl</vt:lpstr>
      <vt:lpstr>src_map_dtl</vt:lpstr>
      <vt:lpstr>trgt_map_dtl</vt:lpstr>
      <vt:lpstr>stage_pub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Hulmani, Sahana [C]</dc:creator>
  <cp:lastModifiedBy>Hulmani, Sahana [C]</cp:lastModifiedBy>
  <dcterms:created xsi:type="dcterms:W3CDTF">2026-09-02T15:31:33Z</dcterms:created>
  <dcterms:modified xsi:type="dcterms:W3CDTF">2026-09-02T15:34:31Z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1acc0d-dcc4-4dc9-a2c5-be70b05a2fe6_Enabled">
    <vt:lpwstr>true</vt:lpwstr>
  </property>
  <property fmtid="{D5CDD505-2E9C-101B-9397-08002B2CF9AE}" pid="3" name="MSIP_Label_e81acc0d-dcc4-4dc9-a2c5-be70b05a2fe6_SetDate">
    <vt:lpwstr>2026-09-02T15:33:11Z</vt:lpwstr>
  </property>
  <property fmtid="{D5CDD505-2E9C-101B-9397-08002B2CF9AE}" pid="4" name="MSIP_Label_e81acc0d-dcc4-4dc9-a2c5-be70b05a2fe6_Method">
    <vt:lpwstr>Privileged</vt:lpwstr>
  </property>
  <property fmtid="{D5CDD505-2E9C-101B-9397-08002B2CF9AE}" pid="5" name="MSIP_Label_e81acc0d-dcc4-4dc9-a2c5-be70b05a2fe6_Name">
    <vt:lpwstr>e81acc0d-dcc4-4dc9-a2c5-be70b05a2fe6</vt:lpwstr>
  </property>
  <property fmtid="{D5CDD505-2E9C-101B-9397-08002B2CF9AE}" pid="6" name="MSIP_Label_e81acc0d-dcc4-4dc9-a2c5-be70b05a2fe6_SiteId">
    <vt:lpwstr>a00de4ec-48a8-43a6-be74-e31274e2060d</vt:lpwstr>
  </property>
  <property fmtid="{D5CDD505-2E9C-101B-9397-08002B2CF9AE}" pid="7" name="MSIP_Label_e81acc0d-dcc4-4dc9-a2c5-be70b05a2fe6_ActionId">
    <vt:lpwstr>58ff3146-5e1e-43a4-9879-8f1e06f5b280</vt:lpwstr>
  </property>
  <property fmtid="{D5CDD505-2E9C-101B-9397-08002B2CF9AE}" pid="8" name="MSIP_Label_e81acc0d-dcc4-4dc9-a2c5-be70b05a2fe6_ContentBits">
    <vt:lpwstr>0</vt:lpwstr>
  </property>
  <property fmtid="{D5CDD505-2E9C-101B-9397-08002B2CF9AE}" pid="9" name="MSIP_Label_e81acc0d-dcc4-4dc9-a2c5-be70b05a2fe6_Tag">
    <vt:lpwstr>10, 0, 1, 1</vt:lpwstr>
  </property>
</Properties>
</file>